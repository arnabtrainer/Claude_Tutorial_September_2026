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00d170cf3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1b6055011dd640db"/>
    <x:sheet xmlns:r="http://schemas.openxmlformats.org/officeDocument/2006/relationships" name="Summary" sheetId="2" r:id="Rc0dc5135ae16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 mmm yyyy"/>
    <x:numFmt numFmtId="201" formatCode="&quot;INR &quot; #,##0.00"/>
    <x:numFmt numFmtId="202" formatCode="#,##0.00"/>
    <x:numFmt numFmtId="203" formatCode="0.0%"/>
    <x:numFmt numFmtId="204" formatCode="0.00"/>
  </x:numFmts>
  <x:fonts count="7">
    <x:font>
      <x:sz val="11"/>
      <x:name val="Carlito"/>
    </x:font>
    <x:font>
      <x:b/>
      <x:sz val="19"/>
      <x:color rgb="FFFFFFFF"/>
      <x:name val="Carlito"/>
    </x:font>
    <x:font>
      <x:sz val="10"/>
      <x:color rgb="FF536577"/>
      <x:name val="Carlito"/>
    </x:font>
    <x:font>
      <x:b/>
      <x:sz val="10"/>
      <x:color rgb="FFFFFFFF"/>
      <x:name val="Carlito"/>
    </x:font>
    <x:font>
      <x:b/>
      <x:sz val="11"/>
      <x:color rgb="FF17324D"/>
      <x:name val="Carlito"/>
    </x:font>
    <x:font>
      <x:b/>
      <x:sz val="19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B"/>
      </x:patternFill>
    </x:fill>
    <x:fill>
      <x:patternFill patternType="solid">
        <x:fgColor rgb="FFF5F8FB"/>
      </x:patternFill>
    </x:fill>
    <x:fill>
      <x:patternFill patternType="solid">
        <x:fgColor rgb="FFE5F3EE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2" fontId="0" fillId="4" borderId="0" xfId="0" applyNumberFormat="1" applyFont="1" applyFill="1" applyBorder="1"/>
    <x:xf numFmtId="202" fontId="4" fillId="5" borderId="0" xfId="0" applyNumberFormat="1" applyFont="1" applyFill="1" applyBorder="1"/>
    <x:xf numFmtId="202" fontId="0" fillId="4" borderId="1" xfId="0" applyNumberFormat="1" applyFont="1" applyFill="1" applyBorder="1"/>
    <x:xf numFmtId="202" fontId="4" fillId="5" borderId="1" xfId="0" applyNumberFormat="1" applyFont="1" applyFill="1" applyBorder="1"/>
    <x:xf numFmtId="203" fontId="0" fillId="4" borderId="0" xfId="0" applyNumberFormat="1" applyFont="1" applyFill="1" applyBorder="1"/>
    <x:xf numFmtId="203" fontId="4" fillId="5" borderId="0" xfId="0" applyNumberFormat="1" applyFont="1" applyFill="1" applyBorder="1"/>
    <x:xf numFmtId="203" fontId="0" fillId="4" borderId="1" xfId="0" applyNumberFormat="1" applyFont="1" applyFill="1" applyBorder="1"/>
    <x:xf numFmtId="203" fontId="4" fillId="5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2E5"/>
        </x:patternFill>
      </x:fill>
    </x:dxf>
    <x:dxf>
      <x:font>
        <x:color rgb="FF8A5200"/>
      </x:font>
      <x:fill>
        <x:patternFill patternType="solid">
          <x:bgColor rgb="FFFFF0CF"/>
        </x:patternFill>
      </x:fill>
    </x:dxf>
    <x:dxf>
      <x:font>
        <x:b/>
        <x:color rgb="FF166534"/>
      </x:font>
      <x:fill>
        <x:patternFill patternType="solid">
          <x:bgColor rgb="FFDCF2E5"/>
        </x:patternFill>
      </x:fill>
    </x:dxf>
    <x:dxf>
      <x:font>
        <x:b/>
        <x:color rgb="FF8A5200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3c2b9a46c477e" /><Relationship Type="http://schemas.openxmlformats.org/officeDocument/2006/relationships/theme" Target="/xl/theme/theme1.xml" Id="R9cd9b3e54ed9444f" /><Relationship Type="http://schemas.openxmlformats.org/officeDocument/2006/relationships/sharedStrings" Target="/xl/sharedStrings.xml" Id="Ra941e3c2f7f94dc6" /><Relationship Type="http://schemas.openxmlformats.org/officeDocument/2006/relationships/worksheet" Target="/xl/worksheets/sheet1.xml" Id="R1b6055011dd640db" /><Relationship Type="http://schemas.openxmlformats.org/officeDocument/2006/relationships/worksheet" Target="/xl/worksheets/sheet2.xml" Id="Rc0dc5135ae164e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1c1483624748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Expenses by category (INR)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 (INR)</c:v>
          </c:tx>
          <c:cat>
            <c:strRef>
              <c:f>'Summary'!$A$9:$A$11</c:f>
              <c:strCache>
                <c:ptCount val="0"/>
              </c:strCache>
            </c:strRef>
          </c:cat>
          <c:val>
            <c:numRef>
              <c:f>'Summary'!$B$9:$B$11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1c1483624748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eiptRegister" displayName="ReceiptRegister" ref="A5:H8" headerRowCount="1" totalsRowCount="0" totalsRowShown="0">
  <x:tableColumns count="8">
    <x:tableColumn id="1" name="Date"/>
    <x:tableColumn id="2" name="Vendor"/>
    <x:tableColumn id="3" name="Receipt_Number"/>
    <x:tableColumn id="4" name="Category"/>
    <x:tableColumn id="5" name="Currency"/>
    <x:tableColumn id="6" name="Total"/>
    <x:tableColumn id="7" name="Source_File"/>
    <x:tableColumn id="8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694d5b2a440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d05906974874be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9" hidden="0" customWidth="1"/>
    <x:col min="4" max="4" width="20" hidden="0" customWidth="1"/>
    <x:col min="5" max="5" width="11" hidden="0" customWidth="1"/>
    <x:col min="6" max="6" width="17" hidden="0" customWidth="1"/>
    <x:col min="7" max="7" width="27" hidden="0" customWidth="1"/>
    <x:col min="8" max="8" width="17" hidden="0" customWidth="1"/>
  </x:cols>
  <x:sheetData>
    <x:row r="1" ht="23" customHeight="1">
      <x:c r="A1" s="4" t="str">
        <x:v>Expense Register | Module 4 Starter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3" ht="32" customHeight="1">
      <x:c r="A3" s="9" t="str">
        <x:v>Prepared from the three supplied workshop PDFs. Verified = arithmetic/transcription checked; not proof of real purchases.</x:v>
      </x:c>
      <x:c r="B3" s="9"/>
      <x:c r="C3" s="9"/>
      <x:c r="D3" s="9"/>
      <x:c r="E3" s="9"/>
      <x:c r="F3" s="9"/>
      <x:c r="G3" s="9"/>
      <x:c r="H3" s="9"/>
    </x:row>
    <x:row r="5" ht="29" customHeight="1">
      <x:c r="A5" s="13" t="str">
        <x:v>Date</x:v>
      </x:c>
      <x:c r="B5" s="13" t="str">
        <x:v>Vendor</x:v>
      </x:c>
      <x:c r="C5" s="13" t="str">
        <x:v>Receipt_Number</x:v>
      </x:c>
      <x:c r="D5" s="13" t="str">
        <x:v>Category</x:v>
      </x:c>
      <x:c r="E5" s="13" t="str">
        <x:v>Currency</x:v>
      </x:c>
      <x:c r="F5" s="13" t="str">
        <x:v>Total</x:v>
      </x:c>
      <x:c r="G5" s="13" t="str">
        <x:v>Source_File</x:v>
      </x:c>
      <x:c r="H5" s="13" t="str">
        <x:v>Review_Status</x:v>
      </x:c>
    </x:row>
    <x:row r="6" ht="32" customHeight="1">
      <x:c r="A6" s="21" t="n">
        <x:v>46078</x:v>
      </x:c>
      <x:c r="B6" s="18" t="str">
        <x:v>Flipkart</x:v>
      </x:c>
      <x:c r="C6" s="18" t="str">
        <x:v>RCPT-59394</x:v>
      </x:c>
      <x:c r="D6" s="18" t="str">
        <x:v>Office Supplies</x:v>
      </x:c>
      <x:c r="E6" s="18" t="str">
        <x:v>INR</x:v>
      </x:c>
      <x:c r="F6" s="23" t="n">
        <x:v>860</x:v>
      </x:c>
      <x:c r="G6" s="18" t="str">
        <x:v>HP_ink_order.pdf</x:v>
      </x:c>
      <x:c r="H6" s="18" t="str">
        <x:v>Verified</x:v>
      </x:c>
    </x:row>
    <x:row r="7" ht="32" customHeight="1">
      <x:c r="A7" s="21" t="n">
        <x:v>46086</x:v>
      </x:c>
      <x:c r="B7" s="18" t="str">
        <x:v>Domino's Pizza</x:v>
      </x:c>
      <x:c r="C7" s="18" t="str">
        <x:v>RCPT-34283</x:v>
      </x:c>
      <x:c r="D7" s="18" t="str">
        <x:v>Food</x:v>
      </x:c>
      <x:c r="E7" s="18" t="str">
        <x:v>INR</x:v>
      </x:c>
      <x:c r="F7" s="23" t="n">
        <x:v>780</x:v>
      </x:c>
      <x:c r="G7" s="18" t="str">
        <x:v>receipt_march.pdf</x:v>
      </x:c>
      <x:c r="H7" s="18" t="str">
        <x:v>Verified</x:v>
      </x:c>
    </x:row>
    <x:row r="8" ht="32" customHeight="1">
      <x:c r="A8" s="21" t="n">
        <x:v>46096</x:v>
      </x:c>
      <x:c r="B8" s="18" t="str">
        <x:v>Namma Metro</x:v>
      </x:c>
      <x:c r="C8" s="18" t="str">
        <x:v>RCPT-34159</x:v>
      </x:c>
      <x:c r="D8" s="18" t="str">
        <x:v>Travel</x:v>
      </x:c>
      <x:c r="E8" s="18" t="str">
        <x:v>INR</x:v>
      </x:c>
      <x:c r="F8" s="23" t="n">
        <x:v>500</x:v>
      </x:c>
      <x:c r="G8" s="18" t="str">
        <x:v>receipt_amazon.pdf</x:v>
      </x:c>
      <x:c r="H8" s="18" t="str">
        <x:v>Verified</x:v>
      </x:c>
    </x:row>
    <x:row r="10" ht="36" customHeight="1">
      <x:c r="A10" s="27" t="str">
        <x:v>Prompt 4 is still a learner exercise: generate Outputs/Expenses.xlsx, verify it, then replace this starter in Module_4_Workspace/Inputs.</x:v>
      </x:c>
      <x:c r="B10" s="27"/>
      <x:c r="C10" s="27"/>
      <x:c r="D10" s="27"/>
      <x:c r="E10" s="27"/>
      <x:c r="F10" s="27"/>
      <x:c r="G10" s="27"/>
      <x:c r="H10" s="27"/>
    </x:row>
  </x:sheetData>
  <x:mergeCells>
    <x:mergeCell ref="A1:H2"/>
    <x:mergeCell ref="A3:H3"/>
    <x:mergeCell ref="A10:H10"/>
  </x:mergeCells>
  <x:conditionalFormatting sqref="H6:H8">
    <x:cfRule type="expression" dxfId="0" priority="1">
      <x:formula>$H6="Verified"</x:formula>
    </x:cfRule>
    <x:cfRule type="expression" dxfId="1" priority="2">
      <x:formula>$H6="Check"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2694d5b2a440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12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4" t="str">
        <x:v>Workshop Expense Summary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9" t="str">
        <x:v>Classroom starter derived from supplied PDF receipts; all calculations below link to Register.</x:v>
      </x:c>
      <x:c r="B3" s="9"/>
      <x:c r="C3" s="9"/>
      <x:c r="D3" s="9"/>
      <x:c r="E3" s="9"/>
      <x:c r="F3" s="9"/>
      <x:c r="G3" s="9"/>
      <x:c r="H3" s="9"/>
    </x:row>
    <x:row r="5" ht="26" customHeight="1">
      <x:c r="A5" s="32" t="str">
        <x:v>Receipt count</x:v>
      </x:c>
      <x:c r="B5" s="32" t="str">
        <x:v>Total (INR)</x:v>
      </x:c>
    </x:row>
    <x:row r="6" ht="36" customHeight="1">
      <x:c r="A6" s="35" t="n">
        <x:f>COUNTA(Register!C6:C8)</x:f>
        <x:v>3</x:v>
      </x:c>
      <x:c r="B6" s="37" t="n">
        <x:f>SUMIF(Register!E6:E8,"INR",Register!F6:F8)</x:f>
        <x:v>2140</x:v>
      </x:c>
    </x:row>
    <x:row r="8" ht="26" customHeight="1">
      <x:c r="A8" s="40" t="str">
        <x:v>Category</x:v>
      </x:c>
      <x:c r="B8" s="40" t="str">
        <x:v>Total (INR)</x:v>
      </x:c>
      <x:c r="C8" s="40" t="str">
        <x:v>Receipts</x:v>
      </x:c>
      <x:c r="D8" s="40" t="str">
        <x:v>Share</x:v>
      </x:c>
    </x:row>
    <x:row r="9" ht="27" customHeight="1">
      <x:c r="A9" s="43" t="str">
        <x:v>Office Supplies</x:v>
      </x:c>
      <x:c r="B9" s="49" t="n">
        <x:f>SUMIFS(Register!$F$6:$F$8,Register!$D$6:$D$8,A9,Register!$E$6:$E$8,"INR")</x:f>
        <x:v>860</x:v>
      </x:c>
      <x:c r="C9" s="43" t="n">
        <x:f>COUNTIFS(Register!$D$6:$D$8,A9,Register!$E$6:$E$8,"INR")</x:f>
        <x:v>1</x:v>
      </x:c>
      <x:c r="D9" s="53" t="n">
        <x:f>IFERROR(B9/$B$6,0)</x:f>
        <x:v>0.40186915887850466</x:v>
      </x:c>
    </x:row>
    <x:row r="10" ht="27" customHeight="1">
      <x:c r="A10" s="43" t="str">
        <x:v>Food</x:v>
      </x:c>
      <x:c r="B10" s="49" t="n">
        <x:f>SUMIFS(Register!$F$6:$F$8,Register!$D$6:$D$8,A10,Register!$E$6:$E$8,"INR")</x:f>
        <x:v>780</x:v>
      </x:c>
      <x:c r="C10" s="43" t="n">
        <x:f>COUNTIFS(Register!$D$6:$D$8,A10,Register!$E$6:$E$8,"INR")</x:f>
        <x:v>1</x:v>
      </x:c>
      <x:c r="D10" s="53" t="n">
        <x:f>IFERROR(B10/$B$6,0)</x:f>
        <x:v>0.3644859813084112</x:v>
      </x:c>
    </x:row>
    <x:row r="11" ht="27" customHeight="1">
      <x:c r="A11" s="43" t="str">
        <x:v>Travel</x:v>
      </x:c>
      <x:c r="B11" s="49" t="n">
        <x:f>SUMIFS(Register!$F$6:$F$8,Register!$D$6:$D$8,A11,Register!$E$6:$E$8,"INR")</x:f>
        <x:v>500</x:v>
      </x:c>
      <x:c r="C11" s="43" t="n">
        <x:f>COUNTIFS(Register!$D$6:$D$8,A11,Register!$E$6:$E$8,"INR")</x:f>
        <x:v>1</x:v>
      </x:c>
      <x:c r="D11" s="53" t="n">
        <x:f>IFERROR(B11/$B$6,0)</x:f>
        <x:v>0.2336448598130841</x:v>
      </x:c>
    </x:row>
    <x:row r="12" ht="28" customHeight="1">
      <x:c r="A12" s="46" t="str">
        <x:v>Total</x:v>
      </x:c>
      <x:c r="B12" s="50" t="n">
        <x:f>SUM(B9:B11)</x:f>
        <x:v>2140</x:v>
      </x:c>
      <x:c r="C12" s="46" t="n">
        <x:f>SUM(C9:C11)</x:f>
        <x:v>3</x:v>
      </x:c>
      <x:c r="D12" s="54" t="n">
        <x:f>SUM(D9:D11)</x:f>
        <x:v>1</x:v>
      </x:c>
    </x:row>
    <x:row r="15" ht="26" customHeight="1">
      <x:c r="A15" s="39" t="str">
        <x:v>Validation</x:v>
      </x:c>
      <x:c r="B15" s="39" t="str">
        <x:v>Result</x:v>
      </x:c>
    </x:row>
    <x:row r="16" ht="27" customHeight="1">
      <x:c r="A16" s="17" t="str">
        <x:v>Summary minus Register</x:v>
      </x:c>
      <x:c r="B16" s="57" t="n">
        <x:f>B12-B6</x:f>
        <x:v>0</x:v>
      </x:c>
    </x:row>
    <x:row r="17" ht="27" customHeight="1">
      <x:c r="A17" s="17" t="str">
        <x:v>Reconciliation status</x:v>
      </x:c>
      <x:c r="B17" s="17" t="str">
        <x:f>IF(ABS(B16)&lt;0.005,"PASS","CHECK")</x:f>
        <x:v>PASS</x:v>
      </x:c>
    </x:row>
    <x:row r="18" ht="27" customHeight="1">
      <x:c r="A18" s="17" t="str">
        <x:v>Review flags to check</x:v>
      </x:c>
      <x:c r="B18" s="17" t="n">
        <x:f>COUNTIF(Register!H6:H8,"Check")</x:f>
        <x:v>0</x:v>
      </x:c>
    </x:row>
    <x:row r="19" ht="27" customHeight="1">
      <x:c r="A19" s="17" t="str">
        <x:v>Verified training entries</x:v>
      </x:c>
      <x:c r="B19" s="17" t="n">
        <x:f>COUNTIF(Register!H6:H8,"Verified")</x:f>
        <x:v>3</x:v>
      </x:c>
    </x:row>
    <x:row r="21" ht="26" customHeight="1">
      <x:c r="A21" s="31" t="str">
        <x:v>Date range</x:v>
      </x:c>
      <x:c r="B21" s="31"/>
    </x:row>
    <x:row r="22" ht="27" customHeight="1">
      <x:c r="A22" t="str">
        <x:v>Earliest receipt</x:v>
      </x:c>
      <x:c r="B22" s="59" t="n">
        <x:f>MIN(Register!A6:A8)</x:f>
        <x:v>46078</x:v>
      </x:c>
    </x:row>
    <x:row r="23" ht="27" customHeight="1">
      <x:c r="A23" t="str">
        <x:v>Latest receipt</x:v>
      </x:c>
      <x:c r="B23" s="59" t="n">
        <x:f>MAX(Register!A6:A8)</x:f>
        <x:v>46096</x:v>
      </x:c>
    </x:row>
  </x:sheetData>
  <x:mergeCells>
    <x:mergeCell ref="A1:H2"/>
    <x:mergeCell ref="A3:H3"/>
  </x:mergeCells>
  <x:conditionalFormatting sqref="B9:B11">
    <x:cfRule type="dataBar" priority="1">
      <x:dataBar>
        <x:cfvo type="min"/>
        <x:cfvo type="max"/>
        <x:color rgb="FF338AA3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conditionalFormatting sqref="B17:B17">
    <x:cfRule type="expression" dxfId="2" priority="2">
      <x:formula>B17="PASS"</x:formula>
    </x:cfRule>
    <x:cfRule type="expression" dxfId="3" priority="3">
      <x:formula>B17="CHECK"</x:formula>
    </x:cfRule>
  </x:conditionalFormatting>
  <x:pageMargins left="0.7" right="0.7" top="0.75" bottom="0.75" header="0.3" footer="0.3"/>
  <x:drawing xmlns:r="http://schemas.openxmlformats.org/officeDocument/2006/relationships" r:id="R4d05906974874be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338AA3"/>
            </x14:dataBar>
          </x14:cfRule>
          <xm:sqref>B9:B11</xm:sqref>
        </x14:conditionalFormatting>
      </x14:conditionalFormattings>
    </x:ext>
  </x:extLst>
</x:worksheet>
</file>