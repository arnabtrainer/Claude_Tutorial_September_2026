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841459e6e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0e8de072bd4e4cec"/>
    <x:sheet xmlns:r="http://schemas.openxmlformats.org/officeDocument/2006/relationships" name="Summary" sheetId="2" r:id="Ra439142104c7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.00"/>
    <x:numFmt numFmtId="202" formatCode="0.0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F4C0A"/>
      <x:name val="Carlito"/>
    </x:font>
    <x:font>
      <x:i/>
      <x:sz val="10"/>
      <x:color rgb="FF4B5563"/>
      <x:name val="Carlito"/>
    </x:font>
    <x:font>
      <x:sz val="11"/>
      <x:name val="Aptos"/>
    </x:font>
    <x:font>
      <x:b/>
      <x:sz val="18"/>
      <x:color rgb="FFFFFFFF"/>
      <x:name val="Aptos"/>
    </x:font>
    <x:font>
      <x:sz val="11"/>
      <x:color rgb="FF6F4C0A"/>
      <x:name val="Aptos"/>
    </x:font>
    <x:font>
      <x:b/>
      <x:sz val="16"/>
      <x:color rgb="FF183653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i/>
      <x:sz val="10"/>
      <x:color rgb="FF4B556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83653"/>
      </x:patternFill>
    </x:fill>
    <x:fill>
      <x:patternFill patternType="solid">
        <x:fgColor rgb="FFFFF0C2"/>
      </x:patternFill>
    </x:fill>
    <x:fill>
      <x:patternFill patternType="solid">
        <x:fgColor rgb="FFEEF3F8"/>
      </x:patternFill>
    </x:fill>
    <x:fill>
      <x:patternFill patternType="solid">
        <x:fgColor rgb="FFDCE8F2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/>
    <x:xf numFmtId="0" fontId="6" fillId="3" borderId="0" xfId="0" applyNumberFormat="1" applyFont="1" applyFill="1" applyBorder="1"/>
    <x:xf numFmtId="0" fontId="4" fillId="3" borderId="1" xfId="0" applyNumberFormat="1" applyFont="1" applyFill="1" applyBorder="1"/>
    <x:xf numFmtId="0" fontId="6" fillId="3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1" fontId="7" fillId="4" borderId="0" xfId="0" applyNumberFormat="1" applyFont="1" applyFill="1" applyBorder="1"/>
    <x:xf numFmtId="201" fontId="7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9" fillId="5" borderId="0" xfId="0" applyNumberFormat="1" applyFont="1" applyFill="1" applyBorder="1"/>
    <x:xf numFmtId="201" fontId="9" fillId="5" borderId="0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9" fillId="5" borderId="1" xfId="0" applyNumberFormat="1" applyFont="1" applyFill="1" applyBorder="1"/>
    <x:xf numFmtId="201" fontId="9" fillId="5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183653"/>
      </x:font>
      <x:fill>
        <x:patternFill patternType="solid">
          <x:bgColor rgb="FFE7EFF7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DDF3E5"/>
        </x:patternFill>
      </x:fill>
    </x:dxf>
    <x:dxf>
      <x:fill>
        <x:patternFill patternType="solid">
          <x:bgColor rgb="FFDDF3E5"/>
        </x:patternFill>
      </x:fill>
    </x:dxf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4e7c871e64726" /><Relationship Type="http://schemas.openxmlformats.org/officeDocument/2006/relationships/theme" Target="/xl/theme/theme1.xml" Id="Rfccf7c8f268245c4" /><Relationship Type="http://schemas.openxmlformats.org/officeDocument/2006/relationships/sharedStrings" Target="/xl/sharedStrings.xml" Id="Rd0e2f3b0defa4559" /><Relationship Type="http://schemas.openxmlformats.org/officeDocument/2006/relationships/worksheet" Target="/xl/worksheets/sheet1.xml" Id="R0e8de072bd4e4cec" /><Relationship Type="http://schemas.openxmlformats.org/officeDocument/2006/relationships/worksheet" Target="/xl/worksheets/sheet2.xml" Id="Ra439142104c745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34b914dec442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Expense by category (INR)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 (INR)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34b914dec442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rilExpenseRegister" displayName="AprilExpenseRegister" ref="A1:H9" headerRowCount="1" totalsRowCount="0" totalsRowShown="0">
  <x:tableColumns count="8">
    <x:tableColumn id="1" name="Date"/>
    <x:tableColumn id="2" name="Vendor"/>
    <x:tableColumn id="3" name="Receipt_Number"/>
    <x:tableColumn id="4" name="Category"/>
    <x:tableColumn id="5" name="Currency"/>
    <x:tableColumn id="6" name="Total"/>
    <x:tableColumn id="7" name="Source_File"/>
    <x:tableColumn id="8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a53ae176ad45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b96b5b6df74ee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1" hidden="0" customWidth="1"/>
    <x:col min="4" max="4" width="22" hidden="0" customWidth="1"/>
    <x:col min="5" max="5" width="11" hidden="0" customWidth="1"/>
    <x:col min="6" max="6" width="15" hidden="0" customWidth="1"/>
    <x:col min="7" max="7" width="27" hidden="0" customWidth="1"/>
    <x:col min="8" max="8" width="17" hidden="0" customWidth="1"/>
  </x:cols>
  <x:sheetData>
    <x:row r="1" ht="32" customHeight="1">
      <x:c r="A1" s="5" t="str">
        <x:v>Date</x:v>
      </x:c>
      <x:c r="B1" s="5" t="str">
        <x:v>Vendor</x:v>
      </x:c>
      <x:c r="C1" s="5" t="str">
        <x:v>Receipt_Number</x:v>
      </x:c>
      <x:c r="D1" s="5" t="str">
        <x:v>Category</x:v>
      </x:c>
      <x:c r="E1" s="5" t="str">
        <x:v>Currency</x:v>
      </x:c>
      <x:c r="F1" s="5" t="str">
        <x:v>Total</x:v>
      </x:c>
      <x:c r="G1" s="5" t="str">
        <x:v>Source_File</x:v>
      </x:c>
      <x:c r="H1" s="5" t="str">
        <x:v>Review_Status</x:v>
      </x:c>
    </x:row>
    <x:row r="2" ht="27" customHeight="1">
      <x:c r="A2" s="13" t="n">
        <x:v>46114</x:v>
      </x:c>
      <x:c r="B2" s="11" t="str">
        <x:v>Zoom</x:v>
      </x:c>
      <x:c r="C2" s="11" t="str">
        <x:v>DEMO-APR26-001</x:v>
      </x:c>
      <x:c r="D2" s="11" t="str">
        <x:v>Software</x:v>
      </x:c>
      <x:c r="E2" s="11" t="str">
        <x:v>INR</x:v>
      </x:c>
      <x:c r="F2" s="15" t="n">
        <x:v>1250</x:v>
      </x:c>
      <x:c r="G2" s="11" t="str">
        <x:v>SYNTHETIC: APR26-001</x:v>
      </x:c>
      <x:c r="H2" s="11" t="str">
        <x:v>Synthetic</x:v>
      </x:c>
    </x:row>
    <x:row r="3" ht="27" customHeight="1">
      <x:c r="A3" s="13" t="n">
        <x:v>46117</x:v>
      </x:c>
      <x:c r="B3" s="11" t="str">
        <x:v>Uber</x:v>
      </x:c>
      <x:c r="C3" s="11" t="str">
        <x:v>DEMO-APR26-002</x:v>
      </x:c>
      <x:c r="D3" s="11" t="str">
        <x:v>Travel</x:v>
      </x:c>
      <x:c r="E3" s="11" t="str">
        <x:v>INR</x:v>
      </x:c>
      <x:c r="F3" s="15" t="n">
        <x:v>640</x:v>
      </x:c>
      <x:c r="G3" s="11" t="str">
        <x:v>SYNTHETIC: APR26-002</x:v>
      </x:c>
      <x:c r="H3" s="11" t="str">
        <x:v>Synthetic</x:v>
      </x:c>
    </x:row>
    <x:row r="4" ht="27" customHeight="1">
      <x:c r="A4" s="13" t="n">
        <x:v>46120</x:v>
      </x:c>
      <x:c r="B4" s="11" t="str">
        <x:v>Staples</x:v>
      </x:c>
      <x:c r="C4" s="11" t="str">
        <x:v>DEMO-APR26-003</x:v>
      </x:c>
      <x:c r="D4" s="11" t="str">
        <x:v>Office Supplies</x:v>
      </x:c>
      <x:c r="E4" s="11" t="str">
        <x:v>INR</x:v>
      </x:c>
      <x:c r="F4" s="15" t="n">
        <x:v>1480</x:v>
      </x:c>
      <x:c r="G4" s="11" t="str">
        <x:v>SYNTHETIC: APR26-003</x:v>
      </x:c>
      <x:c r="H4" s="11" t="str">
        <x:v>Synthetic</x:v>
      </x:c>
    </x:row>
    <x:row r="5" ht="27" customHeight="1">
      <x:c r="A5" s="13" t="n">
        <x:v>46124</x:v>
      </x:c>
      <x:c r="B5" s="11" t="str">
        <x:v>Swiggy</x:v>
      </x:c>
      <x:c r="C5" s="11" t="str">
        <x:v>DEMO-APR26-004</x:v>
      </x:c>
      <x:c r="D5" s="11" t="str">
        <x:v>Food</x:v>
      </x:c>
      <x:c r="E5" s="11" t="str">
        <x:v>INR</x:v>
      </x:c>
      <x:c r="F5" s="15" t="n">
        <x:v>920</x:v>
      </x:c>
      <x:c r="G5" s="11" t="str">
        <x:v>SYNTHETIC: APR26-004</x:v>
      </x:c>
      <x:c r="H5" s="11" t="str">
        <x:v>Synthetic</x:v>
      </x:c>
    </x:row>
    <x:row r="6" ht="27" customHeight="1">
      <x:c r="A6" s="13" t="n">
        <x:v>46130</x:v>
      </x:c>
      <x:c r="B6" s="11" t="str">
        <x:v>Adobe</x:v>
      </x:c>
      <x:c r="C6" s="11" t="str">
        <x:v>DEMO-APR26-005</x:v>
      </x:c>
      <x:c r="D6" s="11" t="str">
        <x:v>Software</x:v>
      </x:c>
      <x:c r="E6" s="11" t="str">
        <x:v>INR</x:v>
      </x:c>
      <x:c r="F6" s="15" t="n">
        <x:v>1675</x:v>
      </x:c>
      <x:c r="G6" s="11" t="str">
        <x:v>SYNTHETIC: APR26-005</x:v>
      </x:c>
      <x:c r="H6" s="11" t="str">
        <x:v>Synthetic</x:v>
      </x:c>
    </x:row>
    <x:row r="7" ht="27" customHeight="1">
      <x:c r="A7" s="13" t="n">
        <x:v>46133</x:v>
      </x:c>
      <x:c r="B7" s="11" t="str">
        <x:v>Ola</x:v>
      </x:c>
      <x:c r="C7" s="11" t="str">
        <x:v>DEMO-APR26-006</x:v>
      </x:c>
      <x:c r="D7" s="11" t="str">
        <x:v>Travel</x:v>
      </x:c>
      <x:c r="E7" s="11" t="str">
        <x:v>INR</x:v>
      </x:c>
      <x:c r="F7" s="15" t="n">
        <x:v>510</x:v>
      </x:c>
      <x:c r="G7" s="11" t="str">
        <x:v>SYNTHETIC: APR26-006</x:v>
      </x:c>
      <x:c r="H7" s="11" t="str">
        <x:v>Synthetic</x:v>
      </x:c>
    </x:row>
    <x:row r="8" ht="27" customHeight="1">
      <x:c r="A8" s="13" t="n">
        <x:v>46137</x:v>
      </x:c>
      <x:c r="B8" s="11" t="str">
        <x:v>Office Depot</x:v>
      </x:c>
      <x:c r="C8" s="11" t="str">
        <x:v>DEMO-APR26-007</x:v>
      </x:c>
      <x:c r="D8" s="11" t="str">
        <x:v>Office Supplies</x:v>
      </x:c>
      <x:c r="E8" s="11" t="str">
        <x:v>INR</x:v>
      </x:c>
      <x:c r="F8" s="15" t="n">
        <x:v>1120</x:v>
      </x:c>
      <x:c r="G8" s="11" t="str">
        <x:v>SYNTHETIC: APR26-007</x:v>
      </x:c>
      <x:c r="H8" s="11" t="str">
        <x:v>Synthetic</x:v>
      </x:c>
    </x:row>
    <x:row r="9" ht="27" customHeight="1">
      <x:c r="A9" s="13" t="n">
        <x:v>46141</x:v>
      </x:c>
      <x:c r="B9" s="11" t="str">
        <x:v>Domino's Pizza</x:v>
      </x:c>
      <x:c r="C9" s="11" t="str">
        <x:v>DEMO-APR26-008</x:v>
      </x:c>
      <x:c r="D9" s="11" t="str">
        <x:v>Food</x:v>
      </x:c>
      <x:c r="E9" s="11" t="str">
        <x:v>INR</x:v>
      </x:c>
      <x:c r="F9" s="15" t="n">
        <x:v>760</x:v>
      </x:c>
      <x:c r="G9" s="11" t="str">
        <x:v>SYNTHETIC: APR26-008</x:v>
      </x:c>
      <x:c r="H9" s="11" t="str">
        <x:v>Synthetic</x:v>
      </x:c>
    </x:row>
    <x:row r="12" ht="28" customHeight="1">
      <x:c r="A12" s="18" t="str">
        <x:v>SAMPLE — FOR TRAINING ONLY. All rows, receipt numbers and amounts are fictional.</x:v>
      </x:c>
      <x:c r="B12" s="18"/>
      <x:c r="C12" s="18"/>
      <x:c r="D12" s="18"/>
      <x:c r="E12" s="18"/>
      <x:c r="F12" s="18"/>
      <x:c r="G12" s="18"/>
      <x:c r="H12" s="18"/>
    </x:row>
    <x:row r="13" ht="25" customHeight="1">
      <x:c r="A13" s="22" t="str">
        <x:v>Source_File contains synthetic row identifiers, not missing PDF paths. Review_Status = Synthetic is intentional; it does not mean that a real receipt was verified. Check arithmetic against Summary and label the new presentation as fictional training data.</x:v>
      </x:c>
      <x:c r="B13" s="22"/>
      <x:c r="C13" s="22"/>
      <x:c r="D13" s="22"/>
      <x:c r="E13" s="22"/>
      <x:c r="F13" s="22"/>
      <x:c r="G13" s="22"/>
      <x:c r="H13" s="22"/>
    </x:row>
    <x:row r="14" ht="25" customHeight="1">
      <x:c r="A14" s="22"/>
      <x:c r="B14" s="22"/>
      <x:c r="C14" s="22"/>
      <x:c r="D14" s="22"/>
      <x:c r="E14" s="22"/>
      <x:c r="F14" s="22"/>
      <x:c r="G14" s="22"/>
      <x:c r="H14" s="22"/>
    </x:row>
    <x:row r="16" ht="25" customHeight="1">
      <x:c r="A16" s="26" t="str">
        <x:v>Source: workshop example supplied in the conversation; vendor names are illustrative, not actual purchases or current prices.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2:H12"/>
    <x:mergeCell ref="A13:H14"/>
    <x:mergeCell ref="A16:H16"/>
  </x:mergeCells>
  <x:conditionalFormatting sqref="H2:H100">
    <x:cfRule type="expression" dxfId="0" priority="1">
      <x:formula>$H2="Synthetic"</x:formula>
    </x:cfRule>
    <x:cfRule type="expression" dxfId="1" priority="2">
      <x:formula>$H2="Check"</x:formula>
    </x:cfRule>
    <x:cfRule type="expression" dxfId="2" priority="3">
      <x:formula>$H2="Verified"</x:formula>
    </x:cfRule>
  </x:conditionalFormatting>
  <x:dataValidations count="2">
    <x:dataValidation type="list" sqref="H2:H100">
      <x:formula1>"Synthetic,Verified,Check"</x:formula1>
    </x:dataValidation>
    <x:dataValidation type="list" sqref="E2:E100">
      <x:formula1>"INR"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a53ae176ad45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5" hidden="0" customWidth="1"/>
    <x:col min="4" max="4" width="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39" customHeight="1">
      <x:c r="A1" s="32" t="str">
        <x:v>APRIL 2026 | EXPENSE BRIEFING REUSE DATA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27" customHeight="1">
      <x:c r="A2" s="36" t="str">
        <x:v>SAMPLE — FOR TRAINING ONLY | Fictional records; no source receipt PDFs exist.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 ht="24" customHeight="1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4" ht="24" customHeight="1">
      <x:c r="A4" s="39" t="str">
        <x:v>Receipt records</x:v>
      </x:c>
      <x:c r="B4" s="41" t="n">
        <x:f>COUNTA(Register!$C$2:$C$9)</x:f>
        <x:v>8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 ht="24" customHeight="1">
      <x:c r="A5" s="39" t="str">
        <x:v>Total (INR)</x:v>
      </x:c>
      <x:c r="B5" s="43" t="n">
        <x:f>SUMIF(Register!$E$2:$E$9,"INR",Register!$F$2:$F$9)</x:f>
        <x:v>8355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</x:row>
    <x:row r="6" ht="24" customHeight="1">
      <x:c r="A6" s="39" t="str">
        <x:v>Earliest record</x:v>
      </x:c>
      <x:c r="B6" s="45" t="n">
        <x:f>MIN(Register!$A$2:$A$9)</x:f>
        <x:v>46114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</x:row>
    <x:row r="7" ht="24" customHeight="1">
      <x:c r="A7" s="39" t="str">
        <x:v>Latest record</x:v>
      </x:c>
      <x:c r="B7" s="45" t="n">
        <x:f>MAX(Register!$A$2:$A$9)</x:f>
        <x:v>46141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 ht="24" customHeight="1">
      <x:c r="A8" s="39" t="str">
        <x:v>Synthetic records</x:v>
      </x:c>
      <x:c r="B8" s="39" t="n">
        <x:f>COUNTIF(Register!$H$2:$H$9,"Synthetic")</x:f>
        <x:v>8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9" ht="2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  <x:row r="10" ht="30" customHeight="1">
      <x:c r="A10" s="47" t="str">
        <x:v>Category</x:v>
      </x:c>
      <x:c r="B10" s="47" t="str">
        <x:v>Total (INR)</x:v>
      </x:c>
      <x:c r="C10" s="47" t="str">
        <x:v>Records</x:v>
      </x:c>
      <x:c r="D10" s="29"/>
      <x:c r="E10" s="29"/>
      <x:c r="F10" s="29"/>
      <x:c r="G10" s="29"/>
      <x:c r="H10" s="29"/>
      <x:c r="I10" s="29"/>
      <x:c r="J10" s="29"/>
      <x:c r="K10" s="29"/>
      <x:c r="L10" s="29"/>
    </x:row>
    <x:row r="11" ht="24" customHeight="1">
      <x:c r="A11" s="29" t="str">
        <x:v>Software</x:v>
      </x:c>
      <x:c r="B11" s="49" t="n">
        <x:f>SUMIFS(Register!$F$2:$F$9,Register!$D$2:$D$9,A11,Register!$E$2:$E$9,"INR")</x:f>
        <x:v>2925</x:v>
      </x:c>
      <x:c r="C11" s="29" t="n">
        <x:f>COUNTIF(Register!$D$2:$D$9,A11)</x:f>
        <x:v>2</x:v>
      </x:c>
      <x:c r="D11" s="29"/>
      <x:c r="E11" s="29"/>
      <x:c r="F11" s="29"/>
      <x:c r="G11" s="29"/>
      <x:c r="H11" s="29"/>
      <x:c r="I11" s="29"/>
      <x:c r="J11" s="29"/>
      <x:c r="K11" s="29"/>
      <x:c r="L11" s="29"/>
    </x:row>
    <x:row r="12" ht="24" customHeight="1">
      <x:c r="A12" s="29" t="str">
        <x:v>Office Supplies</x:v>
      </x:c>
      <x:c r="B12" s="49" t="n">
        <x:f>SUMIFS(Register!$F$2:$F$9,Register!$D$2:$D$9,A12,Register!$E$2:$E$9,"INR")</x:f>
        <x:v>2600</x:v>
      </x:c>
      <x:c r="C12" s="29" t="n">
        <x:f>COUNTIF(Register!$D$2:$D$9,A12)</x:f>
        <x:v>2</x:v>
      </x:c>
      <x:c r="D12" s="29"/>
      <x:c r="E12" s="29"/>
      <x:c r="F12" s="29"/>
      <x:c r="G12" s="29"/>
      <x:c r="H12" s="29"/>
      <x:c r="I12" s="29"/>
      <x:c r="J12" s="29"/>
      <x:c r="K12" s="29"/>
      <x:c r="L12" s="29"/>
    </x:row>
    <x:row r="13" ht="24" customHeight="1">
      <x:c r="A13" s="29" t="str">
        <x:v>Food</x:v>
      </x:c>
      <x:c r="B13" s="49" t="n">
        <x:f>SUMIFS(Register!$F$2:$F$9,Register!$D$2:$D$9,A13,Register!$E$2:$E$9,"INR")</x:f>
        <x:v>1680</x:v>
      </x:c>
      <x:c r="C13" s="29" t="n">
        <x:f>COUNTIF(Register!$D$2:$D$9,A13)</x:f>
        <x:v>2</x:v>
      </x:c>
      <x:c r="D13" s="29"/>
      <x:c r="E13" s="29"/>
      <x:c r="F13" s="29"/>
      <x:c r="G13" s="29"/>
      <x:c r="H13" s="29"/>
      <x:c r="I13" s="29"/>
      <x:c r="J13" s="29"/>
      <x:c r="K13" s="29"/>
      <x:c r="L13" s="29"/>
    </x:row>
    <x:row r="14" ht="24" customHeight="1">
      <x:c r="A14" s="29" t="str">
        <x:v>Travel</x:v>
      </x:c>
      <x:c r="B14" s="49" t="n">
        <x:f>SUMIFS(Register!$F$2:$F$9,Register!$D$2:$D$9,A14,Register!$E$2:$E$9,"INR")</x:f>
        <x:v>1150</x:v>
      </x:c>
      <x:c r="C14" s="29" t="n">
        <x:f>COUNTIF(Register!$D$2:$D$9,A14)</x:f>
        <x:v>2</x:v>
      </x:c>
      <x:c r="D14" s="29"/>
      <x:c r="E14" s="29"/>
      <x:c r="F14" s="29"/>
      <x:c r="G14" s="29"/>
      <x:c r="H14" s="29"/>
      <x:c r="I14" s="29"/>
      <x:c r="J14" s="29"/>
      <x:c r="K14" s="29"/>
      <x:c r="L14" s="29"/>
    </x:row>
    <x:row r="15" ht="28" customHeight="1">
      <x:c r="A15" s="53" t="str">
        <x:v>Category total</x:v>
      </x:c>
      <x:c r="B15" s="54" t="n">
        <x:f>SUM(B11:B14)</x:f>
        <x:v>8355</x:v>
      </x:c>
      <x:c r="C15" s="53" t="n">
        <x:f>SUM(C11:C14)</x:f>
        <x:v>8</x:v>
      </x:c>
      <x:c r="D15" s="29"/>
      <x:c r="E15" s="29"/>
      <x:c r="F15" s="29"/>
      <x:c r="G15" s="29"/>
      <x:c r="H15" s="29"/>
      <x:c r="I15" s="29"/>
      <x:c r="J15" s="29"/>
      <x:c r="K15" s="29"/>
      <x:c r="L15" s="29"/>
    </x:row>
    <x:row r="16" ht="2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</x:row>
    <x:row r="17" ht="24" customHeight="1">
      <x:c r="A17" s="29" t="str">
        <x:v>Reconciliation difference</x:v>
      </x:c>
      <x:c r="B17" s="59" t="n">
        <x:f>B5-B15</x:f>
        <x:v>0</x:v>
      </x:c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</x:row>
    <x:row r="18" ht="24" customHeight="1">
      <x:c r="A18" s="29" t="str">
        <x:v>Arithmetic check</x:v>
      </x:c>
      <x:c r="B18" s="29" t="str">
        <x:f>IF(B17=0,"PASS","CHECK")</x:f>
        <x:v>PASS</x:v>
      </x:c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</x:row>
    <x:row r="19" ht="24" customHeight="1">
      <x:c r="A19" s="29" t="str">
        <x:v>Largest category</x:v>
      </x:c>
      <x:c r="B19" s="29" t="str">
        <x:f>INDEX(A11:A14,MATCH(MAX(B11:B14),B11:B14,0))</x:f>
        <x:v>Software</x:v>
      </x:c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</x:row>
    <x:row r="20" ht="2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</x:row>
    <x:row r="21" ht="2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</x:row>
    <x:row r="22" ht="23" customHeight="1">
      <x:c r="A22" s="62" t="str">
        <x:v>Skill reuse check: recalculate from the eight Register records, reconcile the formula-based Summary, and derive the largest category from the data. These fictional sample sets are not evidence of business spending trends.</x:v>
      </x:c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</x:row>
    <x:row r="23" ht="23" customHeight="1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</x:row>
    <x:row r="24" ht="2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</x:row>
    <x:row r="25" ht="23" customHeight="1">
      <x:c r="A25" s="66" t="str">
        <x:v>Input contract: Register uses the same eight columns as Expenses.xlsx; Summary is formula-driven. Supply this workbook explicitly with the same style-reference PPTX. Accept Synthetic only for this declared classroom dataset; do not report real receipt validation.</x:v>
      </x:c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</x:row>
    <x:row r="26" ht="23" customHeight="1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</x:row>
    <x:row r="27" ht="2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</x:row>
  </x:sheetData>
  <x:mergeCells>
    <x:mergeCell ref="A1:L1"/>
    <x:mergeCell ref="A2:L2"/>
    <x:mergeCell ref="A22:L23"/>
    <x:mergeCell ref="A25:L26"/>
  </x:mergeCells>
  <x:conditionalFormatting sqref="B11:B14">
    <x:cfRule type="dataBar" priority="1">
      <x:dataBar>
        <x:cfvo type="min"/>
        <x:cfvo type="max"/>
        <x:color rgb="FF467BA0"/>
      </x:dataBar>
    </x:cfRule>
  </x:conditionalFormatting>
  <x:conditionalFormatting sqref="B18:B18">
    <x:cfRule type="expression" dxfId="3" priority="2">
      <x:formula>B18="PASS"</x:formula>
    </x:cfRule>
    <x:cfRule type="expression" dxfId="4" priority="3">
      <x:formula>B18="CHECK"</x:formula>
    </x:cfRule>
  </x:conditionalFormatting>
  <x:pageMargins left="0.7" right="0.7" top="0.75" bottom="0.75" header="0.3" footer="0.3"/>
  <x:drawing xmlns:r="http://schemas.openxmlformats.org/officeDocument/2006/relationships" r:id="R7cb96b5b6df74ee5"/>
</x:worksheet>
</file>